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4"/>
    </font>
    <font>
      <name val="Arial"/>
      <color rgb="00000000"/>
      <sz val="10"/>
    </font>
    <font>
      <name val="Arial"/>
      <b val="1"/>
      <color rgb="002F5496"/>
      <sz val="13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9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9" fontId="5" fillId="3" borderId="1" pivotButton="0" quotePrefix="0" xfId="0"/>
    <xf numFmtId="0" fontId="6" fillId="0" borderId="0" applyAlignment="1" pivotButton="0" quotePrefix="0" xfId="0">
      <alignment horizontal="center"/>
    </xf>
    <xf numFmtId="0" fontId="3" fillId="2" borderId="1" pivotButton="0" quotePrefix="0" xfId="0"/>
    <xf numFmtId="0" fontId="4" fillId="2" borderId="1" applyAlignment="1" pivotButton="0" quotePrefix="0" xfId="0">
      <alignment horizontal="center"/>
    </xf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ser>
          <idx val="1"/>
          <order val="1"/>
          <tx>
            <strRef>
              <f>'Dashboard'!C4</f>
            </strRef>
          </tx>
          <spPr>
            <a:solidFill xmlns:a="http://schemas.openxmlformats.org/drawingml/2006/main">
              <a:srgbClr val="F97316"/>
            </a:solidFill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Completion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'Dashboard'!$A$5:$A$9</f>
            </numRef>
          </cat>
          <val>
            <numRef>
              <f>'Dashboard'!$F$5:$F$9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0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 ht="35" customHeight="1">
      <c r="A1" s="1" t="inlineStr">
        <is>
          <t>CONSTRUCTION PROJECT BUDGET DASHBOARD</t>
        </is>
      </c>
    </row>
    <row r="2">
      <c r="A2" s="2" t="inlineStr">
        <is>
          <t>Generated by Flowtech Advisory | Update figures monthly</t>
        </is>
      </c>
    </row>
    <row r="4">
      <c r="A4" s="3" t="inlineStr">
        <is>
          <t>Project Name</t>
        </is>
      </c>
      <c r="B4" s="3" t="inlineStr">
        <is>
          <t>Budget ($)</t>
        </is>
      </c>
      <c r="C4" s="3" t="inlineStr">
        <is>
          <t>Actual ($)</t>
        </is>
      </c>
      <c r="D4" s="3" t="inlineStr">
        <is>
          <t>Variance ($)</t>
        </is>
      </c>
      <c r="E4" s="3" t="inlineStr">
        <is>
          <t>Variance %</t>
        </is>
      </c>
      <c r="F4" s="3" t="inlineStr">
        <is>
          <t>% Complete</t>
        </is>
      </c>
      <c r="G4" s="3" t="inlineStr">
        <is>
          <t>Status</t>
        </is>
      </c>
    </row>
    <row r="5">
      <c r="A5" s="4" t="inlineStr">
        <is>
          <t>Riverside Tower - Stage 1</t>
        </is>
      </c>
      <c r="B5" s="5" t="n">
        <v>4500000</v>
      </c>
      <c r="C5" s="5" t="n">
        <v>4200000</v>
      </c>
      <c r="D5" s="5">
        <f>B5-C5</f>
        <v/>
      </c>
      <c r="E5" s="6">
        <f>IF(B5=0,0,D5/B5)</f>
        <v/>
      </c>
      <c r="F5" s="6" t="n">
        <v>0.85</v>
      </c>
      <c r="G5" s="4">
        <f>IF(D5&gt;=0,"Under Budget","Over Budget")</f>
        <v/>
      </c>
    </row>
    <row r="6">
      <c r="A6" s="4" t="inlineStr">
        <is>
          <t>Metro Station Upgrade</t>
        </is>
      </c>
      <c r="B6" s="5" t="n">
        <v>12000000</v>
      </c>
      <c r="C6" s="5" t="n">
        <v>13500000</v>
      </c>
      <c r="D6" s="5">
        <f>B6-C6</f>
        <v/>
      </c>
      <c r="E6" s="6">
        <f>IF(B6=0,0,D6/B6)</f>
        <v/>
      </c>
      <c r="F6" s="6" t="n">
        <v>0.62</v>
      </c>
      <c r="G6" s="4">
        <f>IF(D6&gt;=0,"Under Budget","Over Budget")</f>
        <v/>
      </c>
    </row>
    <row r="7">
      <c r="A7" s="4" t="inlineStr">
        <is>
          <t>Harbour Bridge Maintenance</t>
        </is>
      </c>
      <c r="B7" s="5" t="n">
        <v>2800000</v>
      </c>
      <c r="C7" s="5" t="n">
        <v>2650000</v>
      </c>
      <c r="D7" s="5">
        <f>B7-C7</f>
        <v/>
      </c>
      <c r="E7" s="6">
        <f>IF(B7=0,0,D7/B7)</f>
        <v/>
      </c>
      <c r="F7" s="6" t="n">
        <v>0.95</v>
      </c>
      <c r="G7" s="4">
        <f>IF(D7&gt;=0,"Under Budget","Over Budget")</f>
        <v/>
      </c>
    </row>
    <row r="8">
      <c r="A8" s="4" t="inlineStr">
        <is>
          <t>CBD Office Fit-out L12</t>
        </is>
      </c>
      <c r="B8" s="5" t="n">
        <v>1200000</v>
      </c>
      <c r="C8" s="5" t="n">
        <v>1180000</v>
      </c>
      <c r="D8" s="5">
        <f>B8-C8</f>
        <v/>
      </c>
      <c r="E8" s="6">
        <f>IF(B8=0,0,D8/B8)</f>
        <v/>
      </c>
      <c r="F8" s="6" t="n">
        <v>0.78</v>
      </c>
      <c r="G8" s="4">
        <f>IF(D8&gt;=0,"Under Budget","Over Budget")</f>
        <v/>
      </c>
    </row>
    <row r="9">
      <c r="A9" s="4" t="inlineStr">
        <is>
          <t>Westfield Expansion Wing C</t>
        </is>
      </c>
      <c r="B9" s="5" t="n">
        <v>8500000</v>
      </c>
      <c r="C9" s="5" t="n">
        <v>7900000</v>
      </c>
      <c r="D9" s="5">
        <f>B9-C9</f>
        <v/>
      </c>
      <c r="E9" s="6">
        <f>IF(B9=0,0,D9/B9)</f>
        <v/>
      </c>
      <c r="F9" s="6" t="n">
        <v>0.45</v>
      </c>
      <c r="G9" s="4">
        <f>IF(D9&gt;=0,"Under Budget","Over Budget")</f>
        <v/>
      </c>
    </row>
    <row r="10">
      <c r="A10" s="7" t="inlineStr">
        <is>
          <t>TOTAL</t>
        </is>
      </c>
      <c r="B10" s="8">
        <f>SUM(B5:B9)</f>
        <v/>
      </c>
      <c r="C10" s="8">
        <f>SUM(C5:C9)</f>
        <v/>
      </c>
      <c r="D10" s="8">
        <f>SUM(D5:D9)</f>
        <v/>
      </c>
      <c r="E10" s="9">
        <f>IF(B10=0,0,D10/B10)</f>
        <v/>
      </c>
      <c r="F10" s="9">
        <f>AVERAGE(F5:F9)</f>
        <v/>
      </c>
      <c r="G10" s="7" t="inlineStr"/>
    </row>
  </sheetData>
  <mergeCells count="2">
    <mergeCell ref="A2:G2"/>
    <mergeCell ref="A1:G1"/>
  </mergeCells>
  <conditionalFormatting sqref="D5:D9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COST BREAKDOWN BY CATEGORY</t>
        </is>
      </c>
    </row>
    <row r="3">
      <c r="A3" s="11" t="inlineStr">
        <is>
          <t>Category</t>
        </is>
      </c>
      <c r="B3" s="12" t="inlineStr">
        <is>
          <t>Jan</t>
        </is>
      </c>
      <c r="C3" s="12" t="inlineStr">
        <is>
          <t>Feb</t>
        </is>
      </c>
      <c r="D3" s="12" t="inlineStr">
        <is>
          <t>Mar</t>
        </is>
      </c>
      <c r="E3" s="12" t="inlineStr">
        <is>
          <t>Apr</t>
        </is>
      </c>
      <c r="F3" s="12" t="inlineStr">
        <is>
          <t>May</t>
        </is>
      </c>
      <c r="G3" s="12" t="inlineStr">
        <is>
          <t>Jun</t>
        </is>
      </c>
      <c r="H3" s="12" t="inlineStr">
        <is>
          <t>Jul</t>
        </is>
      </c>
      <c r="I3" s="12" t="inlineStr">
        <is>
          <t>Aug</t>
        </is>
      </c>
      <c r="J3" s="12" t="inlineStr">
        <is>
          <t>Sep</t>
        </is>
      </c>
      <c r="K3" s="12" t="inlineStr">
        <is>
          <t>Oct</t>
        </is>
      </c>
      <c r="L3" s="12" t="inlineStr">
        <is>
          <t>Nov</t>
        </is>
      </c>
      <c r="M3" s="12" t="inlineStr">
        <is>
          <t>Dec</t>
        </is>
      </c>
      <c r="N3" s="11" t="inlineStr">
        <is>
          <t>Total</t>
        </is>
      </c>
    </row>
    <row r="4">
      <c r="A4" s="7" t="inlineStr">
        <is>
          <t>BUDGET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>
      <c r="A5" s="4" t="inlineStr">
        <is>
          <t>Labour</t>
        </is>
      </c>
      <c r="B5" s="5" t="n">
        <v>380000</v>
      </c>
      <c r="C5" s="5" t="n">
        <v>395000</v>
      </c>
      <c r="D5" s="5" t="n">
        <v>410000</v>
      </c>
      <c r="E5" s="5" t="n">
        <v>420000</v>
      </c>
      <c r="F5" s="5" t="n">
        <v>415000</v>
      </c>
      <c r="G5" s="5" t="n">
        <v>400000</v>
      </c>
      <c r="H5" s="5" t="n">
        <v>390000</v>
      </c>
      <c r="I5" s="5" t="n">
        <v>410000</v>
      </c>
      <c r="J5" s="5" t="n">
        <v>425000</v>
      </c>
      <c r="K5" s="5" t="n">
        <v>430000</v>
      </c>
      <c r="L5" s="5" t="n">
        <v>420000</v>
      </c>
      <c r="M5" s="5" t="n">
        <v>380000</v>
      </c>
      <c r="N5" s="14">
        <f>SUM(B5:M5)</f>
        <v/>
      </c>
    </row>
    <row r="6">
      <c r="A6" s="4" t="inlineStr">
        <is>
          <t>Materials</t>
        </is>
      </c>
      <c r="B6" s="5" t="n">
        <v>250000</v>
      </c>
      <c r="C6" s="5" t="n">
        <v>280000</v>
      </c>
      <c r="D6" s="5" t="n">
        <v>320000</v>
      </c>
      <c r="E6" s="5" t="n">
        <v>350000</v>
      </c>
      <c r="F6" s="5" t="n">
        <v>340000</v>
      </c>
      <c r="G6" s="5" t="n">
        <v>310000</v>
      </c>
      <c r="H6" s="5" t="n">
        <v>290000</v>
      </c>
      <c r="I6" s="5" t="n">
        <v>330000</v>
      </c>
      <c r="J6" s="5" t="n">
        <v>360000</v>
      </c>
      <c r="K6" s="5" t="n">
        <v>340000</v>
      </c>
      <c r="L6" s="5" t="n">
        <v>300000</v>
      </c>
      <c r="M6" s="5" t="n">
        <v>260000</v>
      </c>
      <c r="N6" s="14">
        <f>SUM(B6:M6)</f>
        <v/>
      </c>
    </row>
    <row r="7">
      <c r="A7" s="4" t="inlineStr">
        <is>
          <t>Equipment</t>
        </is>
      </c>
      <c r="B7" s="5" t="n">
        <v>120000</v>
      </c>
      <c r="C7" s="5" t="n">
        <v>125000</v>
      </c>
      <c r="D7" s="5" t="n">
        <v>130000</v>
      </c>
      <c r="E7" s="5" t="n">
        <v>135000</v>
      </c>
      <c r="F7" s="5" t="n">
        <v>130000</v>
      </c>
      <c r="G7" s="5" t="n">
        <v>125000</v>
      </c>
      <c r="H7" s="5" t="n">
        <v>120000</v>
      </c>
      <c r="I7" s="5" t="n">
        <v>130000</v>
      </c>
      <c r="J7" s="5" t="n">
        <v>135000</v>
      </c>
      <c r="K7" s="5" t="n">
        <v>130000</v>
      </c>
      <c r="L7" s="5" t="n">
        <v>125000</v>
      </c>
      <c r="M7" s="5" t="n">
        <v>120000</v>
      </c>
      <c r="N7" s="14">
        <f>SUM(B7:M7)</f>
        <v/>
      </c>
    </row>
    <row r="8">
      <c r="A8" s="4" t="inlineStr">
        <is>
          <t>Subcontractors</t>
        </is>
      </c>
      <c r="B8" s="5" t="n">
        <v>450000</v>
      </c>
      <c r="C8" s="5" t="n">
        <v>480000</v>
      </c>
      <c r="D8" s="5" t="n">
        <v>520000</v>
      </c>
      <c r="E8" s="5" t="n">
        <v>550000</v>
      </c>
      <c r="F8" s="5" t="n">
        <v>540000</v>
      </c>
      <c r="G8" s="5" t="n">
        <v>500000</v>
      </c>
      <c r="H8" s="5" t="n">
        <v>470000</v>
      </c>
      <c r="I8" s="5" t="n">
        <v>530000</v>
      </c>
      <c r="J8" s="5" t="n">
        <v>560000</v>
      </c>
      <c r="K8" s="5" t="n">
        <v>540000</v>
      </c>
      <c r="L8" s="5" t="n">
        <v>490000</v>
      </c>
      <c r="M8" s="5" t="n">
        <v>440000</v>
      </c>
      <c r="N8" s="14">
        <f>SUM(B8:M8)</f>
        <v/>
      </c>
    </row>
    <row r="9">
      <c r="A9" s="4" t="inlineStr">
        <is>
          <t>Overheads</t>
        </is>
      </c>
      <c r="B9" s="5" t="n">
        <v>85000</v>
      </c>
      <c r="C9" s="5" t="n">
        <v>85000</v>
      </c>
      <c r="D9" s="5" t="n">
        <v>90000</v>
      </c>
      <c r="E9" s="5" t="n">
        <v>90000</v>
      </c>
      <c r="F9" s="5" t="n">
        <v>90000</v>
      </c>
      <c r="G9" s="5" t="n">
        <v>85000</v>
      </c>
      <c r="H9" s="5" t="n">
        <v>85000</v>
      </c>
      <c r="I9" s="5" t="n">
        <v>90000</v>
      </c>
      <c r="J9" s="5" t="n">
        <v>90000</v>
      </c>
      <c r="K9" s="5" t="n">
        <v>90000</v>
      </c>
      <c r="L9" s="5" t="n">
        <v>85000</v>
      </c>
      <c r="M9" s="5" t="n">
        <v>85000</v>
      </c>
      <c r="N9" s="14">
        <f>SUM(B9:M9)</f>
        <v/>
      </c>
    </row>
    <row r="10">
      <c r="A10" s="4" t="inlineStr">
        <is>
          <t>Contingency</t>
        </is>
      </c>
      <c r="B10" s="5" t="n">
        <v>50000</v>
      </c>
      <c r="C10" s="5" t="n">
        <v>50000</v>
      </c>
      <c r="D10" s="5" t="n">
        <v>55000</v>
      </c>
      <c r="E10" s="5" t="n">
        <v>55000</v>
      </c>
      <c r="F10" s="5" t="n">
        <v>55000</v>
      </c>
      <c r="G10" s="5" t="n">
        <v>50000</v>
      </c>
      <c r="H10" s="5" t="n">
        <v>50000</v>
      </c>
      <c r="I10" s="5" t="n">
        <v>55000</v>
      </c>
      <c r="J10" s="5" t="n">
        <v>55000</v>
      </c>
      <c r="K10" s="5" t="n">
        <v>55000</v>
      </c>
      <c r="L10" s="5" t="n">
        <v>50000</v>
      </c>
      <c r="M10" s="5" t="n">
        <v>50000</v>
      </c>
      <c r="N10" s="14">
        <f>SUM(B10:M10)</f>
        <v/>
      </c>
    </row>
    <row r="11">
      <c r="A11" s="7" t="inlineStr">
        <is>
          <t>BUDGET TOTAL</t>
        </is>
      </c>
      <c r="B11" s="8">
        <f>SUM(B5:B10)</f>
        <v/>
      </c>
      <c r="C11" s="8">
        <f>SUM(C5:C10)</f>
        <v/>
      </c>
      <c r="D11" s="8">
        <f>SUM(D5:D10)</f>
        <v/>
      </c>
      <c r="E11" s="8">
        <f>SUM(E5:E10)</f>
        <v/>
      </c>
      <c r="F11" s="8">
        <f>SUM(F5:F10)</f>
        <v/>
      </c>
      <c r="G11" s="8">
        <f>SUM(G5:G10)</f>
        <v/>
      </c>
      <c r="H11" s="8">
        <f>SUM(H5:H10)</f>
        <v/>
      </c>
      <c r="I11" s="8">
        <f>SUM(I5:I10)</f>
        <v/>
      </c>
      <c r="J11" s="8">
        <f>SUM(J5:J10)</f>
        <v/>
      </c>
      <c r="K11" s="8">
        <f>SUM(K5:K10)</f>
        <v/>
      </c>
      <c r="L11" s="8">
        <f>SUM(L5:L10)</f>
        <v/>
      </c>
      <c r="M11" s="8">
        <f>SUM(M5:M10)</f>
        <v/>
      </c>
      <c r="N11" s="8">
        <f>SUM(N5:N10)</f>
        <v/>
      </c>
    </row>
    <row r="13">
      <c r="A13" s="7" t="inlineStr">
        <is>
          <t>ACTUAL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4" t="inlineStr">
        <is>
          <t>Labour</t>
        </is>
      </c>
      <c r="B14" s="5" t="n">
        <v>390000</v>
      </c>
      <c r="C14" s="5" t="n">
        <v>405000</v>
      </c>
      <c r="D14" s="5" t="n">
        <v>425000</v>
      </c>
      <c r="E14" s="5" t="n">
        <v>440000</v>
      </c>
      <c r="F14" s="5" t="n">
        <v>430000</v>
      </c>
      <c r="G14" s="5" t="n">
        <v>415000</v>
      </c>
      <c r="H14" s="5" t="n">
        <v>400000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14">
        <f>SUM(B14:M14)</f>
        <v/>
      </c>
    </row>
    <row r="15">
      <c r="A15" s="4" t="inlineStr">
        <is>
          <t>Materials</t>
        </is>
      </c>
      <c r="B15" s="5" t="n">
        <v>260000</v>
      </c>
      <c r="C15" s="5" t="n">
        <v>295000</v>
      </c>
      <c r="D15" s="5" t="n">
        <v>340000</v>
      </c>
      <c r="E15" s="5" t="n">
        <v>370000</v>
      </c>
      <c r="F15" s="5" t="n">
        <v>355000</v>
      </c>
      <c r="G15" s="5" t="n">
        <v>325000</v>
      </c>
      <c r="H15" s="5" t="n">
        <v>300000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14">
        <f>SUM(B15:M15)</f>
        <v/>
      </c>
    </row>
    <row r="16">
      <c r="A16" s="4" t="inlineStr">
        <is>
          <t>Equipment</t>
        </is>
      </c>
      <c r="B16" s="5" t="n">
        <v>125000</v>
      </c>
      <c r="C16" s="5" t="n">
        <v>130000</v>
      </c>
      <c r="D16" s="5" t="n">
        <v>140000</v>
      </c>
      <c r="E16" s="5" t="n">
        <v>145000</v>
      </c>
      <c r="F16" s="5" t="n">
        <v>138000</v>
      </c>
      <c r="G16" s="5" t="n">
        <v>132000</v>
      </c>
      <c r="H16" s="5" t="n">
        <v>128000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14">
        <f>SUM(B16:M16)</f>
        <v/>
      </c>
    </row>
    <row r="17">
      <c r="A17" s="4" t="inlineStr">
        <is>
          <t>Subcontractors</t>
        </is>
      </c>
      <c r="B17" s="5" t="n">
        <v>460000</v>
      </c>
      <c r="C17" s="5" t="n">
        <v>500000</v>
      </c>
      <c r="D17" s="5" t="n">
        <v>545000</v>
      </c>
      <c r="E17" s="5" t="n">
        <v>580000</v>
      </c>
      <c r="F17" s="5" t="n">
        <v>560000</v>
      </c>
      <c r="G17" s="5" t="n">
        <v>520000</v>
      </c>
      <c r="H17" s="5" t="n">
        <v>490000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14">
        <f>SUM(B17:M17)</f>
        <v/>
      </c>
    </row>
    <row r="18">
      <c r="A18" s="4" t="inlineStr">
        <is>
          <t>Overheads</t>
        </is>
      </c>
      <c r="B18" s="5" t="n">
        <v>88000</v>
      </c>
      <c r="C18" s="5" t="n">
        <v>92000</v>
      </c>
      <c r="D18" s="5" t="n">
        <v>95000</v>
      </c>
      <c r="E18" s="5" t="n">
        <v>93000</v>
      </c>
      <c r="F18" s="5" t="n">
        <v>91000</v>
      </c>
      <c r="G18" s="5" t="n">
        <v>88000</v>
      </c>
      <c r="H18" s="5" t="n">
        <v>87000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14">
        <f>SUM(B18:M18)</f>
        <v/>
      </c>
    </row>
    <row r="19">
      <c r="A19" s="4" t="inlineStr">
        <is>
          <t>Contingency</t>
        </is>
      </c>
      <c r="B19" s="5" t="n">
        <v>15000</v>
      </c>
      <c r="C19" s="5" t="n">
        <v>25000</v>
      </c>
      <c r="D19" s="5" t="n">
        <v>30000</v>
      </c>
      <c r="E19" s="5" t="n">
        <v>40000</v>
      </c>
      <c r="F19" s="5" t="n">
        <v>20000</v>
      </c>
      <c r="G19" s="5" t="n">
        <v>10000</v>
      </c>
      <c r="H19" s="5" t="n">
        <v>5000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14">
        <f>SUM(B19:M19)</f>
        <v/>
      </c>
    </row>
    <row r="20">
      <c r="A20" s="7" t="inlineStr">
        <is>
          <t>ACTUAL TOTAL</t>
        </is>
      </c>
      <c r="B20" s="8">
        <f>SUM(B14:B19)</f>
        <v/>
      </c>
      <c r="C20" s="8">
        <f>SUM(C14:C19)</f>
        <v/>
      </c>
      <c r="D20" s="8">
        <f>SUM(D14:D19)</f>
        <v/>
      </c>
      <c r="E20" s="8">
        <f>SUM(E14:E19)</f>
        <v/>
      </c>
      <c r="F20" s="8">
        <f>SUM(F14:F19)</f>
        <v/>
      </c>
      <c r="G20" s="8">
        <f>SUM(G14:G19)</f>
        <v/>
      </c>
      <c r="H20" s="8">
        <f>SUM(H14:H19)</f>
        <v/>
      </c>
      <c r="I20" s="8">
        <f>SUM(I14:I19)</f>
        <v/>
      </c>
      <c r="J20" s="8">
        <f>SUM(J14:J19)</f>
        <v/>
      </c>
      <c r="K20" s="8">
        <f>SUM(K14:K19)</f>
        <v/>
      </c>
      <c r="L20" s="8">
        <f>SUM(L14:L19)</f>
        <v/>
      </c>
      <c r="M20" s="8">
        <f>SUM(M14:M19)</f>
        <v/>
      </c>
      <c r="N20" s="8">
        <f>SUM(N14:N19)</f>
        <v/>
      </c>
    </row>
    <row r="22">
      <c r="A22" s="7" t="inlineStr">
        <is>
          <t>VARIANCE (Budget - Actual)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15" t="inlineStr">
        <is>
          <t>VARIANCE</t>
        </is>
      </c>
      <c r="B23" s="14">
        <f>B11-B20</f>
        <v/>
      </c>
      <c r="C23" s="14">
        <f>C11-C20</f>
        <v/>
      </c>
      <c r="D23" s="14">
        <f>D11-D20</f>
        <v/>
      </c>
      <c r="E23" s="14">
        <f>E11-E20</f>
        <v/>
      </c>
      <c r="F23" s="14">
        <f>F11-F20</f>
        <v/>
      </c>
      <c r="G23" s="14">
        <f>G11-G20</f>
        <v/>
      </c>
      <c r="H23" s="14">
        <f>H11-H20</f>
        <v/>
      </c>
      <c r="I23" s="14">
        <f>I11-I20</f>
        <v/>
      </c>
      <c r="J23" s="14">
        <f>J11-J20</f>
        <v/>
      </c>
      <c r="K23" s="14">
        <f>K11-K20</f>
        <v/>
      </c>
      <c r="L23" s="14">
        <f>L11-L20</f>
        <v/>
      </c>
      <c r="M23" s="14">
        <f>M11-M20</f>
        <v/>
      </c>
      <c r="N23" s="14">
        <f>N11-N20</f>
        <v/>
      </c>
    </row>
  </sheetData>
  <mergeCells count="4">
    <mergeCell ref="A4:N4"/>
    <mergeCell ref="A13:N13"/>
    <mergeCell ref="A22:N22"/>
    <mergeCell ref="A1:N1"/>
  </mergeCells>
  <conditionalFormatting sqref="B23:N23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CONSTRUCTION BUDGET DASHBOARD - INSTRUCTIONS</t>
        </is>
      </c>
    </row>
    <row r="2">
      <c r="A2" s="17" t="inlineStr"/>
    </row>
    <row r="3">
      <c r="A3" s="18" t="inlineStr">
        <is>
          <t>How to Use This Dashboard</t>
        </is>
      </c>
    </row>
    <row r="4">
      <c r="A4" s="17" t="inlineStr"/>
    </row>
    <row r="5">
      <c r="A5" s="19" t="inlineStr">
        <is>
          <t>1. Dashboard Tab</t>
        </is>
      </c>
    </row>
    <row r="6">
      <c r="A6" s="17" t="inlineStr">
        <is>
          <t xml:space="preserve">   - Enter your project names in column A (rows 5-9)</t>
        </is>
      </c>
    </row>
    <row r="7">
      <c r="A7" s="17" t="inlineStr">
        <is>
          <t xml:space="preserve">   - Enter the total budget for each project in column B</t>
        </is>
      </c>
    </row>
    <row r="8">
      <c r="A8" s="17" t="inlineStr">
        <is>
          <t xml:space="preserve">   - Enter the actual spend to date in column C</t>
        </is>
      </c>
    </row>
    <row r="9">
      <c r="A9" s="17" t="inlineStr">
        <is>
          <t xml:space="preserve">   - Variance and Status columns calculate automatically</t>
        </is>
      </c>
    </row>
    <row r="10">
      <c r="A10" s="17" t="inlineStr">
        <is>
          <t xml:space="preserve">   - Update the % Complete column manually each month</t>
        </is>
      </c>
    </row>
    <row r="11">
      <c r="A11" s="17" t="inlineStr">
        <is>
          <t xml:space="preserve">   - Charts update automatically when data changes</t>
        </is>
      </c>
    </row>
    <row r="12">
      <c r="A12" s="17" t="inlineStr"/>
    </row>
    <row r="13">
      <c r="A13" s="19" t="inlineStr">
        <is>
          <t>2. Cost Breakdown Tab</t>
        </is>
      </c>
    </row>
    <row r="14">
      <c r="A14" s="17" t="inlineStr">
        <is>
          <t xml:space="preserve">   - Budget section: Enter your planned monthly spend per category</t>
        </is>
      </c>
    </row>
    <row r="15">
      <c r="A15" s="17" t="inlineStr">
        <is>
          <t xml:space="preserve">   - Actual section: Enter actual monthly spend as invoices are processed</t>
        </is>
      </c>
    </row>
    <row r="16">
      <c r="A16" s="17" t="inlineStr">
        <is>
          <t xml:space="preserve">   - Variance section calculates automatically</t>
        </is>
      </c>
    </row>
    <row r="17">
      <c r="A17" s="17" t="inlineStr">
        <is>
          <t xml:space="preserve">   - Green = under budget, Red = over budget</t>
        </is>
      </c>
    </row>
    <row r="18">
      <c r="A18" s="17" t="inlineStr"/>
    </row>
    <row r="19">
      <c r="A19" s="19" t="inlineStr">
        <is>
          <t>3. Adding More Projects</t>
        </is>
      </c>
    </row>
    <row r="20">
      <c r="A20" s="17" t="inlineStr">
        <is>
          <t xml:space="preserve">   - Insert rows above the TOTAL row on the Dashboard tab</t>
        </is>
      </c>
    </row>
    <row r="21">
      <c r="A21" s="17" t="inlineStr">
        <is>
          <t xml:space="preserve">   - Copy formulas from an existing row</t>
        </is>
      </c>
    </row>
    <row r="22">
      <c r="A22" s="17" t="inlineStr">
        <is>
          <t xml:space="preserve">   - Update the chart data range to include new rows</t>
        </is>
      </c>
    </row>
    <row r="23">
      <c r="A23" s="17" t="inlineStr"/>
    </row>
    <row r="24">
      <c r="A24" s="19" t="inlineStr">
        <is>
          <t>4. Formula Reference</t>
        </is>
      </c>
    </row>
    <row r="25">
      <c r="A25" s="17" t="inlineStr">
        <is>
          <t xml:space="preserve">   - Variance = Budget - Actual</t>
        </is>
      </c>
    </row>
    <row r="26">
      <c r="A26" s="17" t="inlineStr">
        <is>
          <t xml:space="preserve">   - Variance % = Variance / Budget</t>
        </is>
      </c>
    </row>
    <row r="27">
      <c r="A27" s="17" t="inlineStr">
        <is>
          <t xml:space="preserve">   - Status = IF(Variance &gt;= 0, "Under Budget", "Over Budget")</t>
        </is>
      </c>
    </row>
    <row r="28">
      <c r="A28" s="17" t="inlineStr">
        <is>
          <t xml:space="preserve">   - All totals use SUM formulas</t>
        </is>
      </c>
    </row>
    <row r="29">
      <c r="A29" s="17" t="inlineStr"/>
    </row>
    <row r="30">
      <c r="A30" s="19" t="inlineStr">
        <is>
          <t>5. Tips</t>
        </is>
      </c>
    </row>
    <row r="31">
      <c r="A31" s="17" t="inlineStr">
        <is>
          <t xml:space="preserve">   - Print the Dashboard tab for monthly project meetings</t>
        </is>
      </c>
    </row>
    <row r="32">
      <c r="A32" s="17" t="inlineStr">
        <is>
          <t xml:space="preserve">   - Use the Cost Breakdown for detailed financial reviews</t>
        </is>
      </c>
    </row>
    <row r="33">
      <c r="A33" s="17" t="inlineStr">
        <is>
          <t xml:space="preserve">   - Back up this file monthly before making changes</t>
        </is>
      </c>
    </row>
    <row r="34">
      <c r="A34" s="17" t="inlineStr">
        <is>
          <t xml:space="preserve">   - Protect sheets (Review &gt; Protect Sheet) to prevent accidental 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2026-03-05T12:20:16+00:00Z</dcterms:created>
  <dcterms:modified xmlns:dcterms="http://purl.org/dc/terms/" xmlns:xsi="http://www.w3.org/2001/XMLSchema-instance" xsi:type="dcterms:W3CDTF">2026-03-05T12:20:16+00:00Z</dcterms:modified>
</cp:coreProperties>
</file>